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ULAS_FATEC_BOTUCATU\AULAS_2SEM_2018\ADS_NOITE\ESTATÍSTICA\AULA_EXCEL\"/>
    </mc:Choice>
  </mc:AlternateContent>
  <xr:revisionPtr revIDLastSave="0" documentId="13_ncr:1_{D64AD2BC-CD3C-4AAD-88A3-73D0A33C004C}" xr6:coauthVersionLast="34" xr6:coauthVersionMax="34" xr10:uidLastSave="{00000000-0000-0000-0000-000000000000}"/>
  <bookViews>
    <workbookView xWindow="0" yWindow="0" windowWidth="20490" windowHeight="7530" xr2:uid="{6AE335E5-1884-4D8A-874E-D95B6F78158D}"/>
  </bookViews>
  <sheets>
    <sheet name="pizza_barras" sheetId="2" r:id="rId1"/>
    <sheet name="histograma" sheetId="1" r:id="rId2"/>
    <sheet name="Poligono de frequência" sheetId="7" r:id="rId3"/>
    <sheet name="Ogiva" sheetId="8" r:id="rId4"/>
    <sheet name="dispersão1" sheetId="3" r:id="rId5"/>
    <sheet name="dispersao2" sheetId="6" r:id="rId6"/>
    <sheet name="série_temporal" sheetId="4" r:id="rId7"/>
    <sheet name="PARETO" sheetId="5" r:id="rId8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" i="7" l="1"/>
  <c r="C7" i="7"/>
  <c r="C6" i="7"/>
  <c r="C4" i="7"/>
  <c r="C3" i="7"/>
  <c r="I7" i="1"/>
  <c r="I3" i="1"/>
  <c r="I4" i="1"/>
  <c r="I5" i="1"/>
  <c r="I6" i="1"/>
  <c r="G6" i="1"/>
  <c r="G5" i="1"/>
  <c r="G4" i="1"/>
  <c r="G3" i="1"/>
  <c r="H2" i="1" a="1"/>
  <c r="H4" i="1" s="1"/>
  <c r="G2" i="1"/>
  <c r="D7" i="1"/>
  <c r="D4" i="1"/>
  <c r="D5" i="1" s="1"/>
  <c r="D3" i="1"/>
  <c r="D1" i="1"/>
  <c r="D2" i="1" s="1"/>
  <c r="H3" i="1" l="1"/>
  <c r="H5" i="1"/>
  <c r="H2" i="1"/>
  <c r="H6" i="1"/>
  <c r="D6" i="1"/>
  <c r="H7" i="1" l="1"/>
  <c r="J5" i="1" s="1"/>
  <c r="J7" i="1" l="1"/>
  <c r="J4" i="1"/>
  <c r="J3" i="1"/>
  <c r="J6" i="1"/>
  <c r="I2" i="1"/>
  <c r="J2" i="1" s="1"/>
  <c r="K2" i="1" s="1"/>
  <c r="K3" i="1" l="1"/>
  <c r="K4" i="1" s="1"/>
  <c r="K5" i="1" s="1"/>
  <c r="K6" i="1" s="1"/>
  <c r="C8" i="5" l="1"/>
  <c r="C7" i="5"/>
  <c r="C6" i="5"/>
  <c r="C5" i="5"/>
  <c r="C4" i="5"/>
  <c r="C3" i="5"/>
  <c r="C2" i="5"/>
  <c r="D2" i="5" s="1"/>
  <c r="D3" i="5" s="1"/>
  <c r="D4" i="5" s="1"/>
  <c r="D5" i="5" s="1"/>
  <c r="D6" i="5" s="1"/>
  <c r="D7" i="5" s="1"/>
</calcChain>
</file>

<file path=xl/sharedStrings.xml><?xml version="1.0" encoding="utf-8"?>
<sst xmlns="http://schemas.openxmlformats.org/spreadsheetml/2006/main" count="91" uniqueCount="48">
  <si>
    <t>pesos</t>
  </si>
  <si>
    <t>classes</t>
  </si>
  <si>
    <t>amplitude</t>
  </si>
  <si>
    <t>CI</t>
  </si>
  <si>
    <t>CI*</t>
  </si>
  <si>
    <t>fa</t>
  </si>
  <si>
    <t>fp</t>
  </si>
  <si>
    <t>Sexo</t>
  </si>
  <si>
    <t>fr</t>
  </si>
  <si>
    <t>Masculino</t>
  </si>
  <si>
    <t>Feminino</t>
  </si>
  <si>
    <t>Total</t>
  </si>
  <si>
    <t>Escolaridade</t>
  </si>
  <si>
    <t>Fp</t>
  </si>
  <si>
    <t>Fundamental</t>
  </si>
  <si>
    <t>Médio</t>
  </si>
  <si>
    <t>Superior</t>
  </si>
  <si>
    <t>Pós-graduação</t>
  </si>
  <si>
    <t>Nº de filhos</t>
  </si>
  <si>
    <t xml:space="preserve">ano </t>
  </si>
  <si>
    <t>Usuários (em milhões)</t>
  </si>
  <si>
    <t>Conta Média (em doláres)</t>
  </si>
  <si>
    <t>Salário</t>
  </si>
  <si>
    <t>Idade</t>
  </si>
  <si>
    <t>ano</t>
  </si>
  <si>
    <t>Tipo de não conformidade</t>
  </si>
  <si>
    <t>Contagem</t>
  </si>
  <si>
    <t>Acumulada (%)</t>
  </si>
  <si>
    <t>Saliência</t>
  </si>
  <si>
    <t>Aspereza</t>
  </si>
  <si>
    <t>Riscos</t>
  </si>
  <si>
    <t>Manchas</t>
  </si>
  <si>
    <t>Cor</t>
  </si>
  <si>
    <t>Outros</t>
  </si>
  <si>
    <t>n</t>
  </si>
  <si>
    <t>mínimo</t>
  </si>
  <si>
    <t>máximo</t>
  </si>
  <si>
    <t>precipitação</t>
  </si>
  <si>
    <t>produção</t>
  </si>
  <si>
    <t>limite superior</t>
  </si>
  <si>
    <t>[63;67,5)</t>
  </si>
  <si>
    <t>[67,5;72)</t>
  </si>
  <si>
    <t>[76,5;81)</t>
  </si>
  <si>
    <t>[81;85,5)</t>
  </si>
  <si>
    <t>Clase de peso</t>
  </si>
  <si>
    <t>Clase de Pesos</t>
  </si>
  <si>
    <t>PMC</t>
  </si>
  <si>
    <t>[72;76,5)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</si>
</sst>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2" borderId="3" applyNumberFormat="0" applyAlignment="0" applyProtection="0"/>
  </cellStyleXfs>
  <cellXfs count="3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1" applyNumberFormat="1" applyFont="1"/>
    <xf numFmtId="164" fontId="0" fillId="0" borderId="0" xfId="1" applyNumberFormat="1" applyFont="1"/>
    <xf numFmtId="0" fontId="0" fillId="0" borderId="2" xfId="0" applyBorder="1"/>
    <xf numFmtId="165" fontId="0" fillId="0" borderId="0" xfId="0" applyNumberFormat="1"/>
    <xf numFmtId="0" fontId="0" fillId="0" borderId="2" xfId="0" applyBorder="1" applyAlignment="1">
      <alignment horizontal="right"/>
    </xf>
    <xf numFmtId="2" fontId="0" fillId="0" borderId="2" xfId="0" applyNumberFormat="1" applyBorder="1"/>
    <xf numFmtId="2" fontId="0" fillId="0" borderId="0" xfId="0" applyNumberFormat="1"/>
    <xf numFmtId="0" fontId="3" fillId="2" borderId="3" xfId="2"/>
    <xf numFmtId="0" fontId="5" fillId="0" borderId="4" xfId="0" applyFont="1" applyFill="1" applyBorder="1"/>
    <xf numFmtId="0" fontId="5" fillId="0" borderId="0" xfId="0" applyFont="1" applyFill="1" applyBorder="1"/>
    <xf numFmtId="9" fontId="5" fillId="0" borderId="0" xfId="1" applyNumberFormat="1" applyFont="1" applyFill="1" applyBorder="1"/>
    <xf numFmtId="9" fontId="5" fillId="0" borderId="0" xfId="0" applyNumberFormat="1" applyFont="1" applyFill="1" applyBorder="1"/>
    <xf numFmtId="9" fontId="5" fillId="0" borderId="4" xfId="1" applyNumberFormat="1" applyFont="1" applyFill="1" applyBorder="1"/>
    <xf numFmtId="0" fontId="0" fillId="0" borderId="0" xfId="0" applyBorder="1"/>
    <xf numFmtId="2" fontId="0" fillId="0" borderId="0" xfId="0" applyNumberFormat="1" applyBorder="1"/>
    <xf numFmtId="0" fontId="0" fillId="0" borderId="5" xfId="0" applyBorder="1"/>
    <xf numFmtId="0" fontId="3" fillId="2" borderId="2" xfId="2" applyBorder="1"/>
    <xf numFmtId="164" fontId="0" fillId="0" borderId="0" xfId="1" applyNumberFormat="1" applyFont="1" applyBorder="1"/>
    <xf numFmtId="0" fontId="4" fillId="0" borderId="4" xfId="0" applyFont="1" applyBorder="1"/>
    <xf numFmtId="0" fontId="4" fillId="0" borderId="0" xfId="0" applyFont="1"/>
    <xf numFmtId="0" fontId="6" fillId="0" borderId="4" xfId="0" applyFont="1" applyFill="1" applyBorder="1"/>
    <xf numFmtId="0" fontId="7" fillId="0" borderId="0" xfId="0" applyFont="1"/>
    <xf numFmtId="0" fontId="8" fillId="0" borderId="0" xfId="0" applyFont="1" applyFill="1" applyBorder="1"/>
    <xf numFmtId="9" fontId="6" fillId="0" borderId="0" xfId="0" applyNumberFormat="1" applyFont="1" applyFill="1" applyBorder="1"/>
    <xf numFmtId="9" fontId="6" fillId="0" borderId="0" xfId="1" applyFont="1" applyFill="1" applyBorder="1"/>
    <xf numFmtId="10" fontId="0" fillId="0" borderId="0" xfId="1" applyNumberFormat="1" applyFont="1"/>
  </cellXfs>
  <cellStyles count="3">
    <cellStyle name="Cálculo" xfId="2" builtinId="22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66675</xdr:rowOff>
    </xdr:from>
    <xdr:to>
      <xdr:col>7</xdr:col>
      <xdr:colOff>247650</xdr:colOff>
      <xdr:row>4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C4D19BA-FC48-4A6E-A4FF-84F725571282}"/>
            </a:ext>
          </a:extLst>
        </xdr:cNvPr>
        <xdr:cNvSpPr txBox="1"/>
      </xdr:nvSpPr>
      <xdr:spPr>
        <a:xfrm>
          <a:off x="1752600" y="66675"/>
          <a:ext cx="2762250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Dados</a:t>
          </a:r>
          <a:r>
            <a:rPr lang="pt-BR" sz="1100" baseline="0"/>
            <a:t> a seguir referem-se a precipitação anual (cm) e a produção de algodão (kg/ha) de uma amostra de sete produtores de uma dada região do estado.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F2161-5A56-4CBC-A7B9-B65901C0242A}">
  <dimension ref="A1:E17"/>
  <sheetViews>
    <sheetView tabSelected="1" workbookViewId="0">
      <selection activeCell="H6" sqref="H6"/>
    </sheetView>
  </sheetViews>
  <sheetFormatPr defaultRowHeight="15" x14ac:dyDescent="0.25"/>
  <cols>
    <col min="1" max="1" width="14" bestFit="1" customWidth="1"/>
  </cols>
  <sheetData>
    <row r="1" spans="1:5" ht="15.75" thickBot="1" x14ac:dyDescent="0.3">
      <c r="A1" s="1" t="s">
        <v>7</v>
      </c>
      <c r="B1" s="2" t="s">
        <v>5</v>
      </c>
      <c r="C1" s="2" t="s">
        <v>8</v>
      </c>
      <c r="D1" s="2" t="s">
        <v>6</v>
      </c>
    </row>
    <row r="2" spans="1:5" x14ac:dyDescent="0.25">
      <c r="A2" s="3" t="s">
        <v>9</v>
      </c>
      <c r="B2" s="4">
        <v>9</v>
      </c>
      <c r="C2" s="4">
        <v>0.36</v>
      </c>
      <c r="D2" s="5">
        <v>0.36</v>
      </c>
    </row>
    <row r="3" spans="1:5" ht="15.75" thickBot="1" x14ac:dyDescent="0.3">
      <c r="A3" s="3" t="s">
        <v>10</v>
      </c>
      <c r="B3" s="4">
        <v>16</v>
      </c>
      <c r="C3" s="4">
        <v>0.64</v>
      </c>
      <c r="D3" s="5">
        <v>0.64</v>
      </c>
    </row>
    <row r="4" spans="1:5" ht="15.75" thickBot="1" x14ac:dyDescent="0.3">
      <c r="A4" s="1" t="s">
        <v>11</v>
      </c>
      <c r="B4" s="2">
        <v>25</v>
      </c>
      <c r="C4" s="2">
        <v>1</v>
      </c>
      <c r="D4" s="6">
        <v>1</v>
      </c>
    </row>
    <row r="5" spans="1:5" ht="15.75" thickBot="1" x14ac:dyDescent="0.3"/>
    <row r="6" spans="1:5" ht="15.75" thickBot="1" x14ac:dyDescent="0.3">
      <c r="A6" s="1" t="s">
        <v>12</v>
      </c>
      <c r="B6" s="2" t="s">
        <v>5</v>
      </c>
      <c r="C6" s="2" t="s">
        <v>8</v>
      </c>
      <c r="D6" s="2" t="s">
        <v>6</v>
      </c>
      <c r="E6" s="2" t="s">
        <v>13</v>
      </c>
    </row>
    <row r="7" spans="1:5" x14ac:dyDescent="0.25">
      <c r="A7" s="3" t="s">
        <v>14</v>
      </c>
      <c r="B7" s="4">
        <v>3</v>
      </c>
      <c r="C7" s="4">
        <v>0.12</v>
      </c>
      <c r="D7" s="5">
        <v>0.12</v>
      </c>
      <c r="E7" s="5">
        <v>0.12</v>
      </c>
    </row>
    <row r="8" spans="1:5" x14ac:dyDescent="0.25">
      <c r="A8" s="3" t="s">
        <v>15</v>
      </c>
      <c r="B8" s="4">
        <v>8</v>
      </c>
      <c r="C8" s="4">
        <v>0.32</v>
      </c>
      <c r="D8" s="5">
        <v>0.32</v>
      </c>
      <c r="E8" s="5">
        <v>0.44</v>
      </c>
    </row>
    <row r="9" spans="1:5" x14ac:dyDescent="0.25">
      <c r="A9" s="3" t="s">
        <v>16</v>
      </c>
      <c r="B9" s="4">
        <v>8</v>
      </c>
      <c r="C9" s="4">
        <v>0.32</v>
      </c>
      <c r="D9" s="5">
        <v>0.32</v>
      </c>
      <c r="E9" s="5">
        <v>0.76</v>
      </c>
    </row>
    <row r="10" spans="1:5" ht="15.75" thickBot="1" x14ac:dyDescent="0.3">
      <c r="A10" s="3" t="s">
        <v>17</v>
      </c>
      <c r="B10" s="4">
        <v>6</v>
      </c>
      <c r="C10" s="4">
        <v>0.24</v>
      </c>
      <c r="D10" s="5">
        <v>0.24</v>
      </c>
      <c r="E10" s="5">
        <v>1</v>
      </c>
    </row>
    <row r="11" spans="1:5" ht="15.75" thickBot="1" x14ac:dyDescent="0.3">
      <c r="A11" s="1" t="s">
        <v>11</v>
      </c>
      <c r="B11" s="2">
        <v>25</v>
      </c>
      <c r="C11" s="2">
        <v>1</v>
      </c>
      <c r="D11" s="6">
        <v>1</v>
      </c>
      <c r="E11" s="7"/>
    </row>
    <row r="12" spans="1:5" ht="15.75" thickBot="1" x14ac:dyDescent="0.3"/>
    <row r="13" spans="1:5" ht="15.75" thickBot="1" x14ac:dyDescent="0.3">
      <c r="A13" s="1" t="s">
        <v>18</v>
      </c>
      <c r="B13" s="2" t="s">
        <v>5</v>
      </c>
      <c r="C13" s="2" t="s">
        <v>8</v>
      </c>
      <c r="D13" s="2" t="s">
        <v>6</v>
      </c>
      <c r="E13" s="2" t="s">
        <v>13</v>
      </c>
    </row>
    <row r="14" spans="1:5" x14ac:dyDescent="0.25">
      <c r="A14" s="3">
        <v>0</v>
      </c>
      <c r="B14" s="4">
        <v>15</v>
      </c>
      <c r="C14" s="4">
        <v>0.6</v>
      </c>
      <c r="D14" s="5">
        <v>0.6</v>
      </c>
      <c r="E14" s="5">
        <v>0.6</v>
      </c>
    </row>
    <row r="15" spans="1:5" x14ac:dyDescent="0.25">
      <c r="A15" s="3">
        <v>1</v>
      </c>
      <c r="B15" s="4">
        <v>9</v>
      </c>
      <c r="C15" s="4">
        <v>0.36</v>
      </c>
      <c r="D15" s="5">
        <v>0.36</v>
      </c>
      <c r="E15" s="5">
        <v>0.96</v>
      </c>
    </row>
    <row r="16" spans="1:5" ht="15.75" thickBot="1" x14ac:dyDescent="0.3">
      <c r="A16" s="3">
        <v>2</v>
      </c>
      <c r="B16" s="4">
        <v>1</v>
      </c>
      <c r="C16" s="4">
        <v>0.04</v>
      </c>
      <c r="D16" s="5">
        <v>0.04</v>
      </c>
      <c r="E16" s="5">
        <v>1</v>
      </c>
    </row>
    <row r="17" spans="1:5" ht="15.75" thickBot="1" x14ac:dyDescent="0.3">
      <c r="A17" s="1" t="s">
        <v>11</v>
      </c>
      <c r="B17" s="2">
        <v>25</v>
      </c>
      <c r="C17" s="2">
        <v>1</v>
      </c>
      <c r="D17" s="6">
        <v>1</v>
      </c>
      <c r="E17" s="7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0B4E-E00D-41DA-B497-74336D95417A}">
  <dimension ref="A1:K26"/>
  <sheetViews>
    <sheetView workbookViewId="0">
      <selection activeCell="G20" sqref="G20"/>
    </sheetView>
  </sheetViews>
  <sheetFormatPr defaultRowHeight="15" x14ac:dyDescent="0.25"/>
  <cols>
    <col min="3" max="3" width="10.140625" bestFit="1" customWidth="1"/>
    <col min="7" max="7" width="14.7109375" bestFit="1" customWidth="1"/>
  </cols>
  <sheetData>
    <row r="1" spans="1:11" x14ac:dyDescent="0.25">
      <c r="A1" t="s">
        <v>0</v>
      </c>
      <c r="C1" s="10" t="s">
        <v>34</v>
      </c>
      <c r="D1" s="10">
        <f>COUNTA(A2:A26)</f>
        <v>25</v>
      </c>
      <c r="F1" t="s">
        <v>1</v>
      </c>
      <c r="G1" t="s">
        <v>39</v>
      </c>
      <c r="H1" s="23" t="s">
        <v>5</v>
      </c>
      <c r="I1" s="21" t="s">
        <v>8</v>
      </c>
      <c r="J1" s="21" t="s">
        <v>6</v>
      </c>
      <c r="K1" s="21" t="s">
        <v>13</v>
      </c>
    </row>
    <row r="2" spans="1:11" x14ac:dyDescent="0.25">
      <c r="A2">
        <v>63</v>
      </c>
      <c r="C2" s="10" t="s">
        <v>1</v>
      </c>
      <c r="D2" s="10">
        <f>SQRT(D1)</f>
        <v>5</v>
      </c>
      <c r="F2">
        <v>1</v>
      </c>
      <c r="G2" s="14">
        <f>$D$3+F2*$D$7</f>
        <v>67.498999999999995</v>
      </c>
      <c r="H2" s="24">
        <f t="array" ref="H2:H6">FREQUENCY(A2:A26,G2:G6)</f>
        <v>1</v>
      </c>
      <c r="I2" s="22">
        <f>H2/$H$7</f>
        <v>0.04</v>
      </c>
      <c r="J2" s="25">
        <f>I2</f>
        <v>0.04</v>
      </c>
      <c r="K2" s="25">
        <f>J2</f>
        <v>0.04</v>
      </c>
    </row>
    <row r="3" spans="1:11" x14ac:dyDescent="0.25">
      <c r="A3">
        <v>67.599999999999994</v>
      </c>
      <c r="C3" s="10" t="s">
        <v>35</v>
      </c>
      <c r="D3" s="10">
        <f>MINA(A2:A26)</f>
        <v>63</v>
      </c>
      <c r="F3">
        <v>2</v>
      </c>
      <c r="G3" s="14">
        <f t="shared" ref="G3:G6" si="0">$D$3+F3*$D$7</f>
        <v>71.998000000000005</v>
      </c>
      <c r="H3" s="24">
        <v>6</v>
      </c>
      <c r="I3" s="22">
        <f t="shared" ref="I3:I6" si="1">H3/$H$7</f>
        <v>0.24</v>
      </c>
      <c r="J3" s="25">
        <f t="shared" ref="J3:J7" si="2">I3</f>
        <v>0.24</v>
      </c>
      <c r="K3" s="25">
        <f>K2+J3</f>
        <v>0.27999999999999997</v>
      </c>
    </row>
    <row r="4" spans="1:11" x14ac:dyDescent="0.25">
      <c r="A4">
        <v>70</v>
      </c>
      <c r="C4" s="10" t="s">
        <v>36</v>
      </c>
      <c r="D4" s="12">
        <f>MAXA(A2:A26)</f>
        <v>83.5</v>
      </c>
      <c r="F4">
        <v>3</v>
      </c>
      <c r="G4" s="14">
        <f t="shared" si="0"/>
        <v>76.497</v>
      </c>
      <c r="H4" s="24">
        <v>10</v>
      </c>
      <c r="I4" s="22">
        <f t="shared" si="1"/>
        <v>0.4</v>
      </c>
      <c r="J4" s="25">
        <f t="shared" si="2"/>
        <v>0.4</v>
      </c>
      <c r="K4" s="25">
        <f t="shared" ref="K4:K6" si="3">K3+J4</f>
        <v>0.67999999999999994</v>
      </c>
    </row>
    <row r="5" spans="1:11" x14ac:dyDescent="0.25">
      <c r="A5">
        <v>70.8</v>
      </c>
      <c r="C5" s="10" t="s">
        <v>2</v>
      </c>
      <c r="D5" s="10">
        <f>D4-D3</f>
        <v>20.5</v>
      </c>
      <c r="F5">
        <v>4</v>
      </c>
      <c r="G5" s="14">
        <f t="shared" si="0"/>
        <v>80.995999999999995</v>
      </c>
      <c r="H5" s="24">
        <v>6</v>
      </c>
      <c r="I5" s="22">
        <f t="shared" si="1"/>
        <v>0.24</v>
      </c>
      <c r="J5" s="25">
        <f t="shared" si="2"/>
        <v>0.24</v>
      </c>
      <c r="K5" s="25">
        <f t="shared" si="3"/>
        <v>0.91999999999999993</v>
      </c>
    </row>
    <row r="6" spans="1:11" x14ac:dyDescent="0.25">
      <c r="A6">
        <v>71.099999999999994</v>
      </c>
      <c r="C6" s="10" t="s">
        <v>3</v>
      </c>
      <c r="D6" s="10">
        <f>D5/D2</f>
        <v>4.0999999999999996</v>
      </c>
      <c r="F6">
        <v>5</v>
      </c>
      <c r="G6" s="14">
        <f t="shared" si="0"/>
        <v>85.495000000000005</v>
      </c>
      <c r="H6" s="24">
        <v>2</v>
      </c>
      <c r="I6" s="22">
        <f t="shared" si="1"/>
        <v>0.08</v>
      </c>
      <c r="J6" s="25">
        <f t="shared" si="2"/>
        <v>0.08</v>
      </c>
      <c r="K6" s="25">
        <f t="shared" si="3"/>
        <v>0.99999999999999989</v>
      </c>
    </row>
    <row r="7" spans="1:11" x14ac:dyDescent="0.25">
      <c r="A7">
        <v>71.2</v>
      </c>
      <c r="C7" s="10" t="s">
        <v>4</v>
      </c>
      <c r="D7" s="13">
        <f>D6+0.399</f>
        <v>4.4989999999999997</v>
      </c>
      <c r="H7" s="24">
        <f>SUM(H2:H6)</f>
        <v>25</v>
      </c>
      <c r="I7" s="22">
        <f>H7/$H$7</f>
        <v>1</v>
      </c>
      <c r="J7" s="25">
        <f t="shared" si="2"/>
        <v>1</v>
      </c>
      <c r="K7" s="25"/>
    </row>
    <row r="8" spans="1:11" x14ac:dyDescent="0.25">
      <c r="A8">
        <v>71.5</v>
      </c>
    </row>
    <row r="9" spans="1:11" x14ac:dyDescent="0.25">
      <c r="A9">
        <v>72</v>
      </c>
    </row>
    <row r="10" spans="1:11" x14ac:dyDescent="0.25">
      <c r="A10">
        <v>72.099999999999994</v>
      </c>
    </row>
    <row r="11" spans="1:11" x14ac:dyDescent="0.25">
      <c r="A11">
        <v>72.5</v>
      </c>
      <c r="G11" s="16" t="s">
        <v>45</v>
      </c>
      <c r="H11" s="16" t="s">
        <v>5</v>
      </c>
      <c r="I11" s="16" t="s">
        <v>8</v>
      </c>
      <c r="J11" s="16" t="s">
        <v>6</v>
      </c>
      <c r="K11" s="16" t="s">
        <v>13</v>
      </c>
    </row>
    <row r="12" spans="1:11" x14ac:dyDescent="0.25">
      <c r="A12">
        <v>74.5</v>
      </c>
      <c r="G12" s="17" t="s">
        <v>40</v>
      </c>
      <c r="H12" s="17">
        <v>1</v>
      </c>
      <c r="I12" s="17">
        <v>0.04</v>
      </c>
      <c r="J12" s="18">
        <v>0.04</v>
      </c>
      <c r="K12" s="19">
        <v>0.04</v>
      </c>
    </row>
    <row r="13" spans="1:11" x14ac:dyDescent="0.25">
      <c r="A13">
        <v>75</v>
      </c>
      <c r="G13" s="17" t="s">
        <v>41</v>
      </c>
      <c r="H13" s="17">
        <v>6</v>
      </c>
      <c r="I13" s="17">
        <v>0.24</v>
      </c>
      <c r="J13" s="18">
        <v>0.24</v>
      </c>
      <c r="K13" s="19">
        <v>0.27999999999999997</v>
      </c>
    </row>
    <row r="14" spans="1:11" x14ac:dyDescent="0.25">
      <c r="A14">
        <v>75.3</v>
      </c>
      <c r="G14" s="17" t="s">
        <v>47</v>
      </c>
      <c r="H14" s="17">
        <v>10</v>
      </c>
      <c r="I14" s="17">
        <v>0.4</v>
      </c>
      <c r="J14" s="18">
        <v>0.4</v>
      </c>
      <c r="K14" s="19">
        <v>0.67999999999999994</v>
      </c>
    </row>
    <row r="15" spans="1:11" x14ac:dyDescent="0.25">
      <c r="A15">
        <v>75.8</v>
      </c>
      <c r="G15" s="17" t="s">
        <v>42</v>
      </c>
      <c r="H15" s="17">
        <v>6</v>
      </c>
      <c r="I15" s="17">
        <v>0.24</v>
      </c>
      <c r="J15" s="18">
        <v>0.24</v>
      </c>
      <c r="K15" s="19">
        <v>0.91999999999999993</v>
      </c>
    </row>
    <row r="16" spans="1:11" x14ac:dyDescent="0.25">
      <c r="A16">
        <v>75.900000000000006</v>
      </c>
      <c r="G16" s="17" t="s">
        <v>43</v>
      </c>
      <c r="H16" s="17">
        <v>2</v>
      </c>
      <c r="I16" s="17">
        <v>0.08</v>
      </c>
      <c r="J16" s="18">
        <v>0.08</v>
      </c>
      <c r="K16" s="19">
        <v>0.99999999999999989</v>
      </c>
    </row>
    <row r="17" spans="1:11" x14ac:dyDescent="0.25">
      <c r="A17">
        <v>76</v>
      </c>
      <c r="G17" s="16" t="s">
        <v>11</v>
      </c>
      <c r="H17" s="16">
        <v>25</v>
      </c>
      <c r="I17" s="16">
        <v>1</v>
      </c>
      <c r="J17" s="20">
        <v>1</v>
      </c>
      <c r="K17" s="16"/>
    </row>
    <row r="18" spans="1:11" x14ac:dyDescent="0.25">
      <c r="A18">
        <v>76.099999999999994</v>
      </c>
    </row>
    <row r="19" spans="1:11" x14ac:dyDescent="0.25">
      <c r="A19">
        <v>76.5</v>
      </c>
    </row>
    <row r="20" spans="1:11" x14ac:dyDescent="0.25">
      <c r="A20">
        <v>76.7</v>
      </c>
    </row>
    <row r="21" spans="1:11" x14ac:dyDescent="0.25">
      <c r="A21">
        <v>77.3</v>
      </c>
    </row>
    <row r="22" spans="1:11" x14ac:dyDescent="0.25">
      <c r="A22">
        <v>77.8</v>
      </c>
    </row>
    <row r="23" spans="1:11" x14ac:dyDescent="0.25">
      <c r="A23">
        <v>78.2</v>
      </c>
    </row>
    <row r="24" spans="1:11" x14ac:dyDescent="0.25">
      <c r="A24">
        <v>79.599999999999994</v>
      </c>
    </row>
    <row r="25" spans="1:11" x14ac:dyDescent="0.25">
      <c r="A25">
        <v>81.5</v>
      </c>
    </row>
    <row r="26" spans="1:11" x14ac:dyDescent="0.25">
      <c r="A26">
        <v>83.5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CFE6-7132-4C4E-A513-DE04DC832AD9}">
  <dimension ref="B2:G17"/>
  <sheetViews>
    <sheetView workbookViewId="0">
      <selection activeCell="C15" sqref="C15"/>
    </sheetView>
  </sheetViews>
  <sheetFormatPr defaultRowHeight="15" x14ac:dyDescent="0.25"/>
  <cols>
    <col min="2" max="2" width="14.140625" bestFit="1" customWidth="1"/>
  </cols>
  <sheetData>
    <row r="2" spans="2:7" x14ac:dyDescent="0.25">
      <c r="B2" s="16" t="s">
        <v>44</v>
      </c>
      <c r="C2" s="26" t="s">
        <v>46</v>
      </c>
      <c r="D2" s="16" t="s">
        <v>5</v>
      </c>
      <c r="E2" s="16" t="s">
        <v>8</v>
      </c>
      <c r="F2" s="16" t="s">
        <v>6</v>
      </c>
      <c r="G2" s="16" t="s">
        <v>13</v>
      </c>
    </row>
    <row r="3" spans="2:7" x14ac:dyDescent="0.25">
      <c r="B3" s="17" t="s">
        <v>40</v>
      </c>
      <c r="C3" s="27">
        <f>(67.5+63)/2</f>
        <v>65.25</v>
      </c>
      <c r="D3" s="17">
        <v>1</v>
      </c>
      <c r="E3" s="17">
        <v>0.04</v>
      </c>
      <c r="F3" s="18">
        <v>0.04</v>
      </c>
      <c r="G3" s="19">
        <v>0.04</v>
      </c>
    </row>
    <row r="4" spans="2:7" x14ac:dyDescent="0.25">
      <c r="B4" s="17" t="s">
        <v>41</v>
      </c>
      <c r="C4" s="27">
        <f>(72+67.5)/2</f>
        <v>69.75</v>
      </c>
      <c r="D4" s="17">
        <v>6</v>
      </c>
      <c r="E4" s="17">
        <v>0.24</v>
      </c>
      <c r="F4" s="18">
        <v>0.24</v>
      </c>
      <c r="G4" s="19">
        <v>0.27999999999999997</v>
      </c>
    </row>
    <row r="5" spans="2:7" x14ac:dyDescent="0.25">
      <c r="B5" s="17" t="s">
        <v>47</v>
      </c>
      <c r="C5" s="27">
        <f>(76.5+72)/2</f>
        <v>74.25</v>
      </c>
      <c r="D5" s="17">
        <v>10</v>
      </c>
      <c r="E5" s="17">
        <v>0.4</v>
      </c>
      <c r="F5" s="18">
        <v>0.4</v>
      </c>
      <c r="G5" s="19">
        <v>0.67999999999999994</v>
      </c>
    </row>
    <row r="6" spans="2:7" x14ac:dyDescent="0.25">
      <c r="B6" s="17" t="s">
        <v>42</v>
      </c>
      <c r="C6" s="27">
        <f>(81+76.5)/2</f>
        <v>78.75</v>
      </c>
      <c r="D6" s="17">
        <v>6</v>
      </c>
      <c r="E6" s="17">
        <v>0.24</v>
      </c>
      <c r="F6" s="18">
        <v>0.24</v>
      </c>
      <c r="G6" s="19">
        <v>0.91999999999999993</v>
      </c>
    </row>
    <row r="7" spans="2:7" x14ac:dyDescent="0.25">
      <c r="B7" s="17" t="s">
        <v>43</v>
      </c>
      <c r="C7" s="27">
        <f>(85.5+81)/2</f>
        <v>83.25</v>
      </c>
      <c r="D7" s="17">
        <v>2</v>
      </c>
      <c r="E7" s="17">
        <v>0.08</v>
      </c>
      <c r="F7" s="18">
        <v>0.08</v>
      </c>
      <c r="G7" s="19">
        <v>0.99999999999999989</v>
      </c>
    </row>
    <row r="8" spans="2:7" x14ac:dyDescent="0.25">
      <c r="B8" s="16" t="s">
        <v>11</v>
      </c>
      <c r="C8" s="26"/>
      <c r="D8" s="16">
        <v>25</v>
      </c>
      <c r="E8" s="16">
        <v>1</v>
      </c>
      <c r="F8" s="20">
        <v>1</v>
      </c>
      <c r="G8" s="16"/>
    </row>
    <row r="11" spans="2:7" x14ac:dyDescent="0.25">
      <c r="C11" s="29">
        <v>63</v>
      </c>
      <c r="D11" s="30">
        <v>0</v>
      </c>
    </row>
    <row r="12" spans="2:7" x14ac:dyDescent="0.25">
      <c r="C12" s="15">
        <v>65.25</v>
      </c>
      <c r="D12" s="17">
        <v>0.04</v>
      </c>
    </row>
    <row r="13" spans="2:7" x14ac:dyDescent="0.25">
      <c r="C13" s="15">
        <v>69.75</v>
      </c>
      <c r="D13" s="17">
        <v>0.24</v>
      </c>
    </row>
    <row r="14" spans="2:7" x14ac:dyDescent="0.25">
      <c r="C14" s="15">
        <v>74.25</v>
      </c>
      <c r="D14" s="17">
        <v>0.4</v>
      </c>
    </row>
    <row r="15" spans="2:7" x14ac:dyDescent="0.25">
      <c r="C15" s="15">
        <v>78.75</v>
      </c>
      <c r="D15" s="17">
        <v>0.24</v>
      </c>
    </row>
    <row r="16" spans="2:7" x14ac:dyDescent="0.25">
      <c r="C16" s="15">
        <v>83.25</v>
      </c>
      <c r="D16" s="17">
        <v>0.08</v>
      </c>
    </row>
    <row r="17" spans="3:4" x14ac:dyDescent="0.25">
      <c r="C17" s="29">
        <v>85.5</v>
      </c>
      <c r="D17" s="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0CA3-82E8-4561-81D9-5F8F9DB346A6}">
  <dimension ref="B2:F17"/>
  <sheetViews>
    <sheetView workbookViewId="0">
      <selection activeCell="B6" sqref="B6"/>
    </sheetView>
  </sheetViews>
  <sheetFormatPr defaultRowHeight="15" x14ac:dyDescent="0.25"/>
  <cols>
    <col min="2" max="2" width="14.140625" bestFit="1" customWidth="1"/>
  </cols>
  <sheetData>
    <row r="2" spans="2:6" x14ac:dyDescent="0.25">
      <c r="B2" s="16" t="s">
        <v>45</v>
      </c>
      <c r="C2" s="16" t="s">
        <v>5</v>
      </c>
      <c r="D2" s="16" t="s">
        <v>8</v>
      </c>
      <c r="E2" s="16" t="s">
        <v>6</v>
      </c>
      <c r="F2" s="28" t="s">
        <v>13</v>
      </c>
    </row>
    <row r="3" spans="2:6" x14ac:dyDescent="0.25">
      <c r="B3" s="17" t="s">
        <v>40</v>
      </c>
      <c r="C3" s="17">
        <v>1</v>
      </c>
      <c r="D3" s="17">
        <v>0.04</v>
      </c>
      <c r="E3" s="18">
        <v>0.04</v>
      </c>
      <c r="F3" s="31">
        <v>0.04</v>
      </c>
    </row>
    <row r="4" spans="2:6" x14ac:dyDescent="0.25">
      <c r="B4" s="17" t="s">
        <v>41</v>
      </c>
      <c r="C4" s="17">
        <v>6</v>
      </c>
      <c r="D4" s="17">
        <v>0.24</v>
      </c>
      <c r="E4" s="18">
        <v>0.24</v>
      </c>
      <c r="F4" s="31">
        <v>0.27999999999999997</v>
      </c>
    </row>
    <row r="5" spans="2:6" x14ac:dyDescent="0.25">
      <c r="B5" s="17" t="s">
        <v>47</v>
      </c>
      <c r="C5" s="17">
        <v>10</v>
      </c>
      <c r="D5" s="17">
        <v>0.4</v>
      </c>
      <c r="E5" s="18">
        <v>0.4</v>
      </c>
      <c r="F5" s="31">
        <v>0.67999999999999994</v>
      </c>
    </row>
    <row r="6" spans="2:6" x14ac:dyDescent="0.25">
      <c r="B6" s="17" t="s">
        <v>42</v>
      </c>
      <c r="C6" s="17">
        <v>6</v>
      </c>
      <c r="D6" s="17">
        <v>0.24</v>
      </c>
      <c r="E6" s="18">
        <v>0.24</v>
      </c>
      <c r="F6" s="31">
        <v>0.91999999999999993</v>
      </c>
    </row>
    <row r="7" spans="2:6" x14ac:dyDescent="0.25">
      <c r="B7" s="17" t="s">
        <v>43</v>
      </c>
      <c r="C7" s="17">
        <v>2</v>
      </c>
      <c r="D7" s="17">
        <v>0.08</v>
      </c>
      <c r="E7" s="18">
        <v>0.08</v>
      </c>
      <c r="F7" s="31">
        <v>0.99999999999999989</v>
      </c>
    </row>
    <row r="8" spans="2:6" x14ac:dyDescent="0.25">
      <c r="B8" s="16" t="s">
        <v>11</v>
      </c>
      <c r="C8" s="16">
        <v>25</v>
      </c>
      <c r="D8" s="16">
        <v>1</v>
      </c>
      <c r="E8" s="20">
        <v>1</v>
      </c>
      <c r="F8" s="16"/>
    </row>
    <row r="12" spans="2:6" x14ac:dyDescent="0.25">
      <c r="C12">
        <v>63</v>
      </c>
      <c r="D12" s="32">
        <v>0</v>
      </c>
    </row>
    <row r="13" spans="2:6" x14ac:dyDescent="0.25">
      <c r="C13" s="11">
        <v>67.498999999999995</v>
      </c>
      <c r="D13" s="31">
        <v>0.04</v>
      </c>
    </row>
    <row r="14" spans="2:6" x14ac:dyDescent="0.25">
      <c r="C14" s="11">
        <v>71.998000000000005</v>
      </c>
      <c r="D14" s="31">
        <v>0.27999999999999997</v>
      </c>
    </row>
    <row r="15" spans="2:6" x14ac:dyDescent="0.25">
      <c r="C15" s="11">
        <v>76.497</v>
      </c>
      <c r="D15" s="31">
        <v>0.67999999999999994</v>
      </c>
    </row>
    <row r="16" spans="2:6" x14ac:dyDescent="0.25">
      <c r="C16" s="11">
        <v>80.995999999999995</v>
      </c>
      <c r="D16" s="31">
        <v>0.91999999999999993</v>
      </c>
    </row>
    <row r="17" spans="3:4" x14ac:dyDescent="0.25">
      <c r="C17" s="11">
        <v>85.495000000000005</v>
      </c>
      <c r="D17" s="31">
        <v>0.99999999999999989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CDC7-DEAD-4A22-AD8B-3615F07B3E63}">
  <dimension ref="A1:B26"/>
  <sheetViews>
    <sheetView workbookViewId="0">
      <selection activeCell="D3" sqref="D3"/>
    </sheetView>
  </sheetViews>
  <sheetFormatPr defaultRowHeight="15" x14ac:dyDescent="0.25"/>
  <cols>
    <col min="2" max="2" width="8" bestFit="1" customWidth="1"/>
  </cols>
  <sheetData>
    <row r="1" spans="1:2" x14ac:dyDescent="0.25">
      <c r="A1" t="s">
        <v>23</v>
      </c>
      <c r="B1" t="s">
        <v>22</v>
      </c>
    </row>
    <row r="2" spans="1:2" x14ac:dyDescent="0.25">
      <c r="A2">
        <v>24</v>
      </c>
      <c r="B2">
        <v>1574.59</v>
      </c>
    </row>
    <row r="3" spans="1:2" x14ac:dyDescent="0.25">
      <c r="A3">
        <v>26</v>
      </c>
      <c r="B3">
        <v>1354.15</v>
      </c>
    </row>
    <row r="4" spans="1:2" x14ac:dyDescent="0.25">
      <c r="A4">
        <v>24</v>
      </c>
      <c r="B4">
        <v>1262.17</v>
      </c>
    </row>
    <row r="5" spans="1:2" x14ac:dyDescent="0.25">
      <c r="A5">
        <v>15</v>
      </c>
      <c r="B5">
        <v>1388.85</v>
      </c>
    </row>
    <row r="6" spans="1:2" x14ac:dyDescent="0.25">
      <c r="A6">
        <v>26</v>
      </c>
      <c r="B6">
        <v>1220.3599999999999</v>
      </c>
    </row>
    <row r="7" spans="1:2" x14ac:dyDescent="0.25">
      <c r="A7">
        <v>34</v>
      </c>
      <c r="B7">
        <v>1675.91</v>
      </c>
    </row>
    <row r="8" spans="1:2" x14ac:dyDescent="0.25">
      <c r="A8">
        <v>28</v>
      </c>
      <c r="B8">
        <v>1035.26</v>
      </c>
    </row>
    <row r="9" spans="1:2" x14ac:dyDescent="0.25">
      <c r="A9">
        <v>28</v>
      </c>
      <c r="B9">
        <v>1571.47</v>
      </c>
    </row>
    <row r="10" spans="1:2" x14ac:dyDescent="0.25">
      <c r="A10">
        <v>30</v>
      </c>
      <c r="B10">
        <v>1443.98</v>
      </c>
    </row>
    <row r="11" spans="1:2" x14ac:dyDescent="0.25">
      <c r="A11">
        <v>24</v>
      </c>
      <c r="B11">
        <v>1636.41</v>
      </c>
    </row>
    <row r="12" spans="1:2" x14ac:dyDescent="0.25">
      <c r="A12">
        <v>19</v>
      </c>
      <c r="B12">
        <v>1627.89</v>
      </c>
    </row>
    <row r="13" spans="1:2" x14ac:dyDescent="0.25">
      <c r="A13">
        <v>27</v>
      </c>
      <c r="B13">
        <v>1404.06</v>
      </c>
    </row>
    <row r="14" spans="1:2" x14ac:dyDescent="0.25">
      <c r="A14">
        <v>22</v>
      </c>
      <c r="B14">
        <v>1330.84</v>
      </c>
    </row>
    <row r="15" spans="1:2" x14ac:dyDescent="0.25">
      <c r="A15">
        <v>25</v>
      </c>
      <c r="B15">
        <v>1520.45</v>
      </c>
    </row>
    <row r="16" spans="1:2" x14ac:dyDescent="0.25">
      <c r="A16">
        <v>25</v>
      </c>
      <c r="B16">
        <v>1859.41</v>
      </c>
    </row>
    <row r="17" spans="1:2" x14ac:dyDescent="0.25">
      <c r="A17">
        <v>29</v>
      </c>
      <c r="B17">
        <v>1459.67</v>
      </c>
    </row>
    <row r="18" spans="1:2" x14ac:dyDescent="0.25">
      <c r="A18">
        <v>34</v>
      </c>
      <c r="B18">
        <v>1444.23</v>
      </c>
    </row>
    <row r="19" spans="1:2" x14ac:dyDescent="0.25">
      <c r="A19">
        <v>29</v>
      </c>
      <c r="B19">
        <v>1461.41</v>
      </c>
    </row>
    <row r="20" spans="1:2" x14ac:dyDescent="0.25">
      <c r="A20">
        <v>21</v>
      </c>
      <c r="B20">
        <v>1255.94</v>
      </c>
    </row>
    <row r="21" spans="1:2" x14ac:dyDescent="0.25">
      <c r="A21">
        <v>25</v>
      </c>
      <c r="B21">
        <v>1411.59</v>
      </c>
    </row>
    <row r="22" spans="1:2" x14ac:dyDescent="0.25">
      <c r="A22">
        <v>29</v>
      </c>
      <c r="B22">
        <v>1449.21</v>
      </c>
    </row>
    <row r="23" spans="1:2" x14ac:dyDescent="0.25">
      <c r="A23">
        <v>32</v>
      </c>
      <c r="B23">
        <v>1676.05</v>
      </c>
    </row>
    <row r="24" spans="1:2" x14ac:dyDescent="0.25">
      <c r="A24">
        <v>31</v>
      </c>
      <c r="B24">
        <v>1349.86</v>
      </c>
    </row>
    <row r="25" spans="1:2" x14ac:dyDescent="0.25">
      <c r="A25">
        <v>27</v>
      </c>
      <c r="B25">
        <v>1603.06</v>
      </c>
    </row>
    <row r="26" spans="1:2" x14ac:dyDescent="0.25">
      <c r="A26">
        <v>15</v>
      </c>
      <c r="B26">
        <v>1626.69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CE6D-8118-47F6-9EDF-D604AD17BFBD}">
  <dimension ref="A1:B8"/>
  <sheetViews>
    <sheetView workbookViewId="0">
      <selection activeCell="C12" sqref="C12"/>
    </sheetView>
  </sheetViews>
  <sheetFormatPr defaultRowHeight="15" x14ac:dyDescent="0.25"/>
  <cols>
    <col min="1" max="1" width="11.85546875" bestFit="1" customWidth="1"/>
  </cols>
  <sheetData>
    <row r="1" spans="1:2" x14ac:dyDescent="0.25">
      <c r="A1" t="s">
        <v>37</v>
      </c>
      <c r="B1" t="s">
        <v>38</v>
      </c>
    </row>
    <row r="2" spans="1:2" x14ac:dyDescent="0.25">
      <c r="A2">
        <v>160</v>
      </c>
      <c r="B2">
        <v>620</v>
      </c>
    </row>
    <row r="3" spans="1:2" x14ac:dyDescent="0.25">
      <c r="A3">
        <v>140</v>
      </c>
      <c r="B3">
        <v>510</v>
      </c>
    </row>
    <row r="4" spans="1:2" x14ac:dyDescent="0.25">
      <c r="A4">
        <v>130</v>
      </c>
      <c r="B4">
        <v>450</v>
      </c>
    </row>
    <row r="5" spans="1:2" x14ac:dyDescent="0.25">
      <c r="A5">
        <v>100</v>
      </c>
      <c r="B5">
        <v>280</v>
      </c>
    </row>
    <row r="6" spans="1:2" x14ac:dyDescent="0.25">
      <c r="A6">
        <v>70</v>
      </c>
      <c r="B6">
        <v>140</v>
      </c>
    </row>
    <row r="7" spans="1:2" x14ac:dyDescent="0.25">
      <c r="A7">
        <v>50</v>
      </c>
      <c r="B7">
        <v>80</v>
      </c>
    </row>
    <row r="8" spans="1:2" x14ac:dyDescent="0.25">
      <c r="A8">
        <v>40</v>
      </c>
      <c r="B8">
        <v>30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E011-F25F-4D3A-8C26-70B664D17401}">
  <dimension ref="A1:H12"/>
  <sheetViews>
    <sheetView workbookViewId="0">
      <selection activeCell="H15" sqref="H15"/>
    </sheetView>
  </sheetViews>
  <sheetFormatPr defaultRowHeight="15" x14ac:dyDescent="0.25"/>
  <cols>
    <col min="1" max="1" width="14" bestFit="1" customWidth="1"/>
    <col min="2" max="2" width="21.140625" bestFit="1" customWidth="1"/>
    <col min="3" max="3" width="24.28515625" bestFit="1" customWidth="1"/>
    <col min="8" max="8" width="21.140625" bestFit="1" customWidth="1"/>
  </cols>
  <sheetData>
    <row r="1" spans="1:8" x14ac:dyDescent="0.25">
      <c r="A1" t="s">
        <v>19</v>
      </c>
      <c r="B1" t="s">
        <v>20</v>
      </c>
      <c r="C1" t="s">
        <v>21</v>
      </c>
    </row>
    <row r="2" spans="1:8" x14ac:dyDescent="0.25">
      <c r="A2">
        <v>1995</v>
      </c>
      <c r="B2">
        <v>33.799999999999997</v>
      </c>
      <c r="C2" s="8">
        <v>51</v>
      </c>
    </row>
    <row r="3" spans="1:8" x14ac:dyDescent="0.25">
      <c r="A3">
        <v>1996</v>
      </c>
      <c r="B3">
        <v>44</v>
      </c>
      <c r="C3" s="8">
        <v>47.7</v>
      </c>
    </row>
    <row r="4" spans="1:8" x14ac:dyDescent="0.25">
      <c r="A4">
        <v>1997</v>
      </c>
      <c r="B4">
        <v>55.3</v>
      </c>
      <c r="C4" s="8">
        <v>42.78</v>
      </c>
    </row>
    <row r="5" spans="1:8" x14ac:dyDescent="0.25">
      <c r="A5">
        <v>1998</v>
      </c>
      <c r="B5">
        <v>69.2</v>
      </c>
      <c r="C5" s="8">
        <v>39.43</v>
      </c>
    </row>
    <row r="6" spans="1:8" x14ac:dyDescent="0.25">
      <c r="A6">
        <v>1999</v>
      </c>
      <c r="B6">
        <v>86</v>
      </c>
      <c r="C6" s="8">
        <v>41.24</v>
      </c>
    </row>
    <row r="7" spans="1:8" x14ac:dyDescent="0.25">
      <c r="A7">
        <v>2000</v>
      </c>
      <c r="B7">
        <v>109.5</v>
      </c>
      <c r="C7" s="8">
        <v>45.27</v>
      </c>
      <c r="G7" t="s">
        <v>24</v>
      </c>
      <c r="H7" t="s">
        <v>20</v>
      </c>
    </row>
    <row r="8" spans="1:8" x14ac:dyDescent="0.25">
      <c r="A8">
        <v>2001</v>
      </c>
      <c r="B8">
        <v>128.4</v>
      </c>
      <c r="C8" s="8">
        <v>47.37</v>
      </c>
      <c r="G8">
        <v>2000</v>
      </c>
      <c r="H8">
        <v>109.5</v>
      </c>
    </row>
    <row r="9" spans="1:8" x14ac:dyDescent="0.25">
      <c r="A9">
        <v>2002</v>
      </c>
      <c r="B9">
        <v>140.80000000000001</v>
      </c>
      <c r="C9" s="8">
        <v>48.4</v>
      </c>
      <c r="G9">
        <v>2005</v>
      </c>
      <c r="H9">
        <v>207.9</v>
      </c>
    </row>
    <row r="10" spans="1:8" x14ac:dyDescent="0.25">
      <c r="A10">
        <v>2003</v>
      </c>
      <c r="B10">
        <v>158.69999999999999</v>
      </c>
      <c r="C10" s="8">
        <v>49.91</v>
      </c>
    </row>
    <row r="11" spans="1:8" x14ac:dyDescent="0.25">
      <c r="A11">
        <v>2004</v>
      </c>
      <c r="B11">
        <v>182.1</v>
      </c>
      <c r="C11" s="8">
        <v>50.64</v>
      </c>
    </row>
    <row r="12" spans="1:8" x14ac:dyDescent="0.25">
      <c r="A12">
        <v>2005</v>
      </c>
      <c r="B12">
        <v>207.9</v>
      </c>
      <c r="C12" s="8">
        <v>49.98</v>
      </c>
      <c r="H12" s="3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E9D4-247B-4E4E-9272-F1902CC6B725}">
  <dimension ref="A1:D8"/>
  <sheetViews>
    <sheetView workbookViewId="0">
      <selection activeCell="D17" sqref="D17"/>
    </sheetView>
  </sheetViews>
  <sheetFormatPr defaultRowHeight="15" x14ac:dyDescent="0.25"/>
  <cols>
    <col min="1" max="1" width="24.5703125" bestFit="1" customWidth="1"/>
    <col min="2" max="2" width="10" bestFit="1" customWidth="1"/>
    <col min="3" max="3" width="7" bestFit="1" customWidth="1"/>
    <col min="4" max="4" width="14.42578125" bestFit="1" customWidth="1"/>
  </cols>
  <sheetData>
    <row r="1" spans="1:4" x14ac:dyDescent="0.25">
      <c r="A1" t="s">
        <v>25</v>
      </c>
      <c r="B1" t="s">
        <v>26</v>
      </c>
      <c r="C1" t="s">
        <v>8</v>
      </c>
      <c r="D1" t="s">
        <v>27</v>
      </c>
    </row>
    <row r="2" spans="1:4" x14ac:dyDescent="0.25">
      <c r="A2" t="s">
        <v>28</v>
      </c>
      <c r="B2">
        <v>35</v>
      </c>
      <c r="C2">
        <f>B2/$B$8</f>
        <v>0.4375</v>
      </c>
      <c r="D2" s="9">
        <f>C2</f>
        <v>0.4375</v>
      </c>
    </row>
    <row r="3" spans="1:4" x14ac:dyDescent="0.25">
      <c r="A3" t="s">
        <v>29</v>
      </c>
      <c r="B3">
        <v>29</v>
      </c>
      <c r="C3">
        <f t="shared" ref="C3:C8" si="0">B3/$B$8</f>
        <v>0.36249999999999999</v>
      </c>
      <c r="D3" s="9">
        <f>D2+C3</f>
        <v>0.8</v>
      </c>
    </row>
    <row r="4" spans="1:4" x14ac:dyDescent="0.25">
      <c r="A4" t="s">
        <v>30</v>
      </c>
      <c r="B4">
        <v>6</v>
      </c>
      <c r="C4">
        <f t="shared" si="0"/>
        <v>7.4999999999999997E-2</v>
      </c>
      <c r="D4" s="9">
        <f t="shared" ref="D4:D7" si="1">D3+C4</f>
        <v>0.875</v>
      </c>
    </row>
    <row r="5" spans="1:4" x14ac:dyDescent="0.25">
      <c r="A5" t="s">
        <v>31</v>
      </c>
      <c r="B5">
        <v>5</v>
      </c>
      <c r="C5">
        <f t="shared" si="0"/>
        <v>6.25E-2</v>
      </c>
      <c r="D5" s="9">
        <f t="shared" si="1"/>
        <v>0.9375</v>
      </c>
    </row>
    <row r="6" spans="1:4" x14ac:dyDescent="0.25">
      <c r="A6" t="s">
        <v>32</v>
      </c>
      <c r="B6">
        <v>3</v>
      </c>
      <c r="C6">
        <f t="shared" si="0"/>
        <v>3.7499999999999999E-2</v>
      </c>
      <c r="D6" s="9">
        <f t="shared" si="1"/>
        <v>0.97499999999999998</v>
      </c>
    </row>
    <row r="7" spans="1:4" x14ac:dyDescent="0.25">
      <c r="A7" t="s">
        <v>33</v>
      </c>
      <c r="B7">
        <v>2</v>
      </c>
      <c r="C7">
        <f t="shared" si="0"/>
        <v>2.5000000000000001E-2</v>
      </c>
      <c r="D7" s="9">
        <f t="shared" si="1"/>
        <v>1</v>
      </c>
    </row>
    <row r="8" spans="1:4" x14ac:dyDescent="0.25">
      <c r="A8" t="s">
        <v>11</v>
      </c>
      <c r="B8">
        <v>80</v>
      </c>
      <c r="C8">
        <f t="shared" si="0"/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pizza_barras</vt:lpstr>
      <vt:lpstr>histograma</vt:lpstr>
      <vt:lpstr>Poligono de frequência</vt:lpstr>
      <vt:lpstr>Ogiva</vt:lpstr>
      <vt:lpstr>dispersão1</vt:lpstr>
      <vt:lpstr>dispersao2</vt:lpstr>
      <vt:lpstr>série_temporal</vt:lpstr>
      <vt:lpstr>PARETO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Parecerista</cp:lastModifiedBy>
  <dcterms:created xsi:type="dcterms:W3CDTF">2017-09-30T11:08:47Z</dcterms:created>
  <dcterms:modified xsi:type="dcterms:W3CDTF">2018-08-28T17:18:40Z</dcterms:modified>
</cp:coreProperties>
</file>